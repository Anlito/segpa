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valuation" sheetId="1" r:id="rId4"/>
    <sheet state="visible" name="Synthèse classe" sheetId="2" r:id="rId5"/>
    <sheet state="visible" name="Légende" sheetId="3" r:id="rId6"/>
    <sheet state="visible" name="Référentiel compétences" sheetId="4" r:id="rId7"/>
  </sheets>
  <definedNames>
    <definedName hidden="1" localSheetId="0" name="_xlnm._FilterDatabase">'Évaluation'!$A$2:$N$18</definedName>
  </definedNames>
  <calcPr/>
  <extLst>
    <ext uri="GoogleSheetsCustomDataVersion2">
      <go:sheetsCustomData xmlns:go="http://customooxmlschemas.google.com/" r:id="rId8" roundtripDataChecksum="hEgmTMsPBlQx5kFzFFc0ZXo3fDgaYgUXdLvr47gjk1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">
      <text>
        <t xml:space="preserve">======
ID#AAACDn9gvQI
Unknown Author    (2026-07-22 13:47:01)
Rouge = 0 pt, Jaune = 1 pt, Vert clair = 2 pts, Vert foncé = 3 pts.
Score brut sur 21 (7 critères × 3 pts max) converti sur 20.
(voir onglet Légende)</t>
      </text>
    </comment>
  </commentList>
  <extLst>
    <ext uri="GoogleSheetsCustomDataVersion2">
      <go:sheetsCustomData xmlns:go="http://customooxmlschemas.google.com/" r:id="rId1" roundtripDataSignature="AMtx7mjt5361B2nIDhaHELSQ9nvZJ2/DJA=="/>
    </ext>
  </extLst>
</comments>
</file>

<file path=xl/sharedStrings.xml><?xml version="1.0" encoding="utf-8"?>
<sst xmlns="http://schemas.openxmlformats.org/spreadsheetml/2006/main" count="87" uniqueCount="73">
  <si>
    <t>ÉVALUATION — PROJET "JE DÉMONTE UN OBJET TECHNIQUE" — 6ème SEGPA</t>
  </si>
  <si>
    <t>N°</t>
  </si>
  <si>
    <t>Prénom</t>
  </si>
  <si>
    <t>Binôme</t>
  </si>
  <si>
    <t>S1 - Suit la procédure
(1 pièce à la fois)</t>
  </si>
  <si>
    <t>S1 - Respecte la sécurité
(vis rangées, ne force pas)</t>
  </si>
  <si>
    <t>S2 - Mesure correctement
au réglet</t>
  </si>
  <si>
    <t>S2 - Dessin fidèle
(proportions respectées)</t>
  </si>
  <si>
    <t>S3 - Remontage
fonctionnel</t>
  </si>
  <si>
    <t>S3 - Répond aux questions
de compréhension</t>
  </si>
  <si>
    <t>Autonomie /
travail en binôme</t>
  </si>
  <si>
    <t>Score brut
(/21)</t>
  </si>
  <si>
    <t>Note /20</t>
  </si>
  <si>
    <t>Appréciation</t>
  </si>
  <si>
    <t>Commentaire</t>
  </si>
  <si>
    <t>Jaune</t>
  </si>
  <si>
    <t>Vert clair</t>
  </si>
  <si>
    <t>Vert foncé</t>
  </si>
  <si>
    <t>SYNTHÈSE DE CLASSE</t>
  </si>
  <si>
    <t>Moyenne de classe /20</t>
  </si>
  <si>
    <t>Note la plus haute</t>
  </si>
  <si>
    <t>Note la plus basse</t>
  </si>
  <si>
    <t>Nombre d'élèves</t>
  </si>
  <si>
    <t>% de la classe</t>
  </si>
  <si>
    <t>Très satisfaisant</t>
  </si>
  <si>
    <t>Satisfaisant</t>
  </si>
  <si>
    <t>Fragile</t>
  </si>
  <si>
    <t>Insuffisant</t>
  </si>
  <si>
    <t>Total élèves</t>
  </si>
  <si>
    <t>LÉGENDE ET MODE D'EMPLOI</t>
  </si>
  <si>
    <t>Colonnes à remplir</t>
  </si>
  <si>
    <t>Prénom, Binôme, et les 7 colonnes de compétences (menu déroulant : Rouge / Jaune / Vert clair / Vert foncé).</t>
  </si>
  <si>
    <t>Barème des couleurs</t>
  </si>
  <si>
    <t>Rouge = 0 pt · Jaune = 1 pt · Vert clair = 2 pts · Vert foncé = 3 pts (par critère).</t>
  </si>
  <si>
    <t>Colonnes automatiques</t>
  </si>
  <si>
    <t>"Score brut /21", "Note /20" et "Appréciation" se calculent seules — ne pas écrire dedans.</t>
  </si>
  <si>
    <t>Calcul de la note</t>
  </si>
  <si>
    <t>Score brut = somme des points sur les 7 critères (max 21). Note /20 = Score brut ÷ 21 × 20, arrondie à 0,1 près.</t>
  </si>
  <si>
    <t>Note ≥ 16/20.</t>
  </si>
  <si>
    <t>Note entre 12 et 15,9/20.</t>
  </si>
  <si>
    <t>Note entre 8 et 11,9/20.</t>
  </si>
  <si>
    <t>Note &lt; 8/20.</t>
  </si>
  <si>
    <t>Rangée d'exemple</t>
  </si>
  <si>
    <t>La ligne "Ex." en gris/italique montre le remplissage attendu — à ne pas compter comme élève.</t>
  </si>
  <si>
    <t>RÉFÉRENTIEL — LIEN AVEC LE PROGRAMME CYCLE 3</t>
  </si>
  <si>
    <t>Critère évalué</t>
  </si>
  <si>
    <t>Compétence du programme (sciences et technologie, cycle 3)</t>
  </si>
  <si>
    <t>Domaine de compétence</t>
  </si>
  <si>
    <t>Domaine du socle commun</t>
  </si>
  <si>
    <t>S1 - Suit la procédure (1 pièce à la fois)</t>
  </si>
  <si>
    <t>Suivre une procédure de réalisation / respecter des étapes dans l'ordre</t>
  </si>
  <si>
    <t>Pratique technologique</t>
  </si>
  <si>
    <t>D2 - Méthodes et outils pour apprendre</t>
  </si>
  <si>
    <t>S1 - Respecte la sécurité</t>
  </si>
  <si>
    <t>Manipuler un outil en sécurité, dans le respect des règles</t>
  </si>
  <si>
    <t>D3 - Formation de la personne et du citoyen</t>
  </si>
  <si>
    <t>S2 - Mesure correctement au réglet</t>
  </si>
  <si>
    <t>Utiliser un instrument de mesure ; associer une mesure réelle à une représentation</t>
  </si>
  <si>
    <t>Modélisation et simulation</t>
  </si>
  <si>
    <t>D4 - Systèmes naturels et systèmes techniques</t>
  </si>
  <si>
    <t>S2 - Dessin fidèle (proportions respectées)</t>
  </si>
  <si>
    <t>Représenter un objet technique par un dessin d'observation simple</t>
  </si>
  <si>
    <t>D1 - Langages pour penser et communiquer</t>
  </si>
  <si>
    <t>S3 - Remontage fonctionnel</t>
  </si>
  <si>
    <t>Identifier les fonctions techniques d'un objet ; comprendre une chaîne de montage simple</t>
  </si>
  <si>
    <t>Matériaux et objets techniques</t>
  </si>
  <si>
    <t>S3 - Répond aux questions de compréhension</t>
  </si>
  <si>
    <t>Expliquer le fonctionnement d'une pièce ou d'un mécanisme avec ses propres mots</t>
  </si>
  <si>
    <t>Connaissance technologique</t>
  </si>
  <si>
    <t>Autonomie / travail en binôme</t>
  </si>
  <si>
    <t>Coopérer, réaliser une tâche en équipe</t>
  </si>
  <si>
    <t>Compétence transversale</t>
  </si>
  <si>
    <t>Note : ce projet ne couvre pas tous les domaines du programme (rien sur l'environnement numérique/algorithmique par ex.) — à compléter par d'autres séquences dans l'année (Vittascience, mBlock...).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</si>
</sst>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1.0"/>
      <color rgb="FF2C6E9E"/>
      <name val="Arial"/>
    </font>
    <font>
      <b/>
      <sz val="11.0"/>
      <color rgb="FFFFFFFF"/>
      <name val="Arial"/>
    </font>
    <font>
      <sz val="11.0"/>
      <color theme="1"/>
      <name val="Arial"/>
    </font>
    <font>
      <i/>
      <sz val="10.0"/>
      <color rgb="FF80808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4E70"/>
        <bgColor rgb="FF1E4E70"/>
      </patternFill>
    </fill>
    <fill>
      <patternFill patternType="solid">
        <fgColor rgb="FF2C6E9E"/>
        <bgColor rgb="FF2C6E9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left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5" fillId="0" fontId="8" numFmtId="9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4" fillId="3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top" wrapText="1"/>
    </xf>
  </cellXfs>
  <cellStyles count="1">
    <cellStyle xfId="0" name="Normal" builtinId="0"/>
  </cellStyles>
  <dxfs count="11">
    <dxf>
      <font>
        <b/>
        <color rgb="FFFFFFFF"/>
        <name val="Arial"/>
      </font>
      <fill>
        <patternFill patternType="solid">
          <fgColor rgb="FF1E7B34"/>
          <bgColor rgb="FF1E7B34"/>
        </patternFill>
      </fill>
      <border/>
    </dxf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color rgb="FFFFFFFF"/>
      </font>
      <fill>
        <patternFill patternType="solid">
          <fgColor rgb="FF1E7B34"/>
          <bgColor rgb="FF1E7B34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0.0"/>
    <col customWidth="1" min="4" max="4" width="25.29"/>
    <col customWidth="1" min="5" max="5" width="28.57"/>
    <col customWidth="1" min="6" max="6" width="16.0"/>
    <col customWidth="1" min="7" max="7" width="28.29"/>
    <col customWidth="1" min="8" max="8" width="21.43"/>
    <col customWidth="1" min="9" max="9" width="26.29"/>
    <col customWidth="1" min="10" max="10" width="23.14"/>
    <col customWidth="1" min="11" max="12" width="10.0"/>
    <col customWidth="1" min="13" max="13" width="16.0"/>
    <col customWidth="1" min="14" max="14" width="26.0"/>
    <col customWidth="1" min="15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48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ht="19.5" customHeight="1">
      <c r="A3" s="5">
        <v>1.0</v>
      </c>
      <c r="B3" s="6"/>
      <c r="C3" s="5"/>
      <c r="D3" s="7" t="s">
        <v>15</v>
      </c>
      <c r="E3" s="7" t="s">
        <v>15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17</v>
      </c>
      <c r="K3" s="5">
        <f t="shared" ref="K3:K18" si="1">COUNTIF(D3:J3,"Rouge")*0+COUNTIF(D3:J3,"Jaune")*1+COUNTIF(D3:J3,"Vert clair")*2+COUNTIF(D3:J3,"Vert foncé")*3</f>
        <v>13</v>
      </c>
      <c r="L3" s="5">
        <f t="shared" ref="L3:L18" si="2">ROUND(K3/21*20,1)</f>
        <v>12.4</v>
      </c>
      <c r="M3" s="5" t="str">
        <f t="shared" ref="M3:M18" si="3">IF(L3&gt;=16,"Très satisfaisant",IF(L3&gt;=12,"Satisfaisant",IF(L3&gt;=8,"Fragile","Insuffisant")))</f>
        <v>Satisfaisant</v>
      </c>
      <c r="N3" s="8"/>
    </row>
    <row r="4" ht="19.5" customHeight="1">
      <c r="A4" s="5">
        <v>2.0</v>
      </c>
      <c r="B4" s="6"/>
      <c r="C4" s="5"/>
      <c r="D4" s="5"/>
      <c r="E4" s="5"/>
      <c r="F4" s="5"/>
      <c r="G4" s="5"/>
      <c r="H4" s="5"/>
      <c r="I4" s="5"/>
      <c r="J4" s="5"/>
      <c r="K4" s="5">
        <f t="shared" si="1"/>
        <v>0</v>
      </c>
      <c r="L4" s="5">
        <f t="shared" si="2"/>
        <v>0</v>
      </c>
      <c r="M4" s="5" t="str">
        <f t="shared" si="3"/>
        <v>Insuffisant</v>
      </c>
      <c r="N4" s="8"/>
    </row>
    <row r="5" ht="19.5" customHeight="1">
      <c r="A5" s="5">
        <v>3.0</v>
      </c>
      <c r="B5" s="6"/>
      <c r="C5" s="5"/>
      <c r="D5" s="5"/>
      <c r="E5" s="5"/>
      <c r="F5" s="5"/>
      <c r="G5" s="5"/>
      <c r="H5" s="5"/>
      <c r="I5" s="5"/>
      <c r="J5" s="5"/>
      <c r="K5" s="5">
        <f t="shared" si="1"/>
        <v>0</v>
      </c>
      <c r="L5" s="5">
        <f t="shared" si="2"/>
        <v>0</v>
      </c>
      <c r="M5" s="5" t="str">
        <f t="shared" si="3"/>
        <v>Insuffisant</v>
      </c>
      <c r="N5" s="8"/>
    </row>
    <row r="6" ht="19.5" customHeight="1">
      <c r="A6" s="5">
        <v>4.0</v>
      </c>
      <c r="B6" s="6"/>
      <c r="C6" s="5"/>
      <c r="D6" s="5"/>
      <c r="E6" s="5"/>
      <c r="F6" s="5"/>
      <c r="G6" s="5"/>
      <c r="H6" s="5"/>
      <c r="I6" s="5"/>
      <c r="J6" s="5"/>
      <c r="K6" s="5">
        <f t="shared" si="1"/>
        <v>0</v>
      </c>
      <c r="L6" s="5">
        <f t="shared" si="2"/>
        <v>0</v>
      </c>
      <c r="M6" s="5" t="str">
        <f t="shared" si="3"/>
        <v>Insuffisant</v>
      </c>
      <c r="N6" s="8"/>
    </row>
    <row r="7" ht="19.5" customHeight="1">
      <c r="A7" s="5">
        <v>5.0</v>
      </c>
      <c r="B7" s="6"/>
      <c r="C7" s="5"/>
      <c r="D7" s="5"/>
      <c r="E7" s="5"/>
      <c r="F7" s="5"/>
      <c r="G7" s="5"/>
      <c r="H7" s="5"/>
      <c r="I7" s="5"/>
      <c r="J7" s="5"/>
      <c r="K7" s="5">
        <f t="shared" si="1"/>
        <v>0</v>
      </c>
      <c r="L7" s="5">
        <f t="shared" si="2"/>
        <v>0</v>
      </c>
      <c r="M7" s="5" t="str">
        <f t="shared" si="3"/>
        <v>Insuffisant</v>
      </c>
      <c r="N7" s="8"/>
    </row>
    <row r="8" ht="19.5" customHeight="1">
      <c r="A8" s="5">
        <v>6.0</v>
      </c>
      <c r="B8" s="6"/>
      <c r="C8" s="5"/>
      <c r="D8" s="5"/>
      <c r="E8" s="5"/>
      <c r="F8" s="5"/>
      <c r="G8" s="5"/>
      <c r="H8" s="5"/>
      <c r="I8" s="5"/>
      <c r="J8" s="5"/>
      <c r="K8" s="5">
        <f t="shared" si="1"/>
        <v>0</v>
      </c>
      <c r="L8" s="5">
        <f t="shared" si="2"/>
        <v>0</v>
      </c>
      <c r="M8" s="5" t="str">
        <f t="shared" si="3"/>
        <v>Insuffisant</v>
      </c>
      <c r="N8" s="8"/>
    </row>
    <row r="9" ht="19.5" customHeight="1">
      <c r="A9" s="5">
        <v>7.0</v>
      </c>
      <c r="B9" s="6"/>
      <c r="C9" s="5"/>
      <c r="D9" s="5"/>
      <c r="E9" s="5"/>
      <c r="F9" s="5"/>
      <c r="G9" s="5"/>
      <c r="H9" s="5"/>
      <c r="I9" s="5"/>
      <c r="J9" s="5"/>
      <c r="K9" s="5">
        <f t="shared" si="1"/>
        <v>0</v>
      </c>
      <c r="L9" s="5">
        <f t="shared" si="2"/>
        <v>0</v>
      </c>
      <c r="M9" s="5" t="str">
        <f t="shared" si="3"/>
        <v>Insuffisant</v>
      </c>
      <c r="N9" s="8"/>
    </row>
    <row r="10" ht="19.5" customHeight="1">
      <c r="A10" s="5">
        <v>8.0</v>
      </c>
      <c r="B10" s="6"/>
      <c r="C10" s="5"/>
      <c r="D10" s="5"/>
      <c r="E10" s="5"/>
      <c r="F10" s="5"/>
      <c r="G10" s="5"/>
      <c r="H10" s="5"/>
      <c r="I10" s="5"/>
      <c r="J10" s="5"/>
      <c r="K10" s="5">
        <f t="shared" si="1"/>
        <v>0</v>
      </c>
      <c r="L10" s="5">
        <f t="shared" si="2"/>
        <v>0</v>
      </c>
      <c r="M10" s="5" t="str">
        <f t="shared" si="3"/>
        <v>Insuffisant</v>
      </c>
      <c r="N10" s="8"/>
    </row>
    <row r="11" ht="19.5" customHeight="1">
      <c r="A11" s="5">
        <v>9.0</v>
      </c>
      <c r="B11" s="6"/>
      <c r="C11" s="5"/>
      <c r="D11" s="5"/>
      <c r="E11" s="5"/>
      <c r="F11" s="5"/>
      <c r="G11" s="5"/>
      <c r="H11" s="5"/>
      <c r="I11" s="5"/>
      <c r="J11" s="5"/>
      <c r="K11" s="5">
        <f t="shared" si="1"/>
        <v>0</v>
      </c>
      <c r="L11" s="5">
        <f t="shared" si="2"/>
        <v>0</v>
      </c>
      <c r="M11" s="5" t="str">
        <f t="shared" si="3"/>
        <v>Insuffisant</v>
      </c>
      <c r="N11" s="8"/>
    </row>
    <row r="12" ht="19.5" customHeight="1">
      <c r="A12" s="5">
        <v>10.0</v>
      </c>
      <c r="B12" s="6"/>
      <c r="C12" s="5"/>
      <c r="D12" s="5"/>
      <c r="E12" s="5"/>
      <c r="F12" s="5"/>
      <c r="G12" s="5"/>
      <c r="H12" s="5"/>
      <c r="I12" s="5"/>
      <c r="J12" s="5"/>
      <c r="K12" s="5">
        <f t="shared" si="1"/>
        <v>0</v>
      </c>
      <c r="L12" s="5">
        <f t="shared" si="2"/>
        <v>0</v>
      </c>
      <c r="M12" s="5" t="str">
        <f t="shared" si="3"/>
        <v>Insuffisant</v>
      </c>
      <c r="N12" s="8"/>
    </row>
    <row r="13" ht="19.5" customHeight="1">
      <c r="A13" s="5">
        <v>11.0</v>
      </c>
      <c r="B13" s="6"/>
      <c r="C13" s="5"/>
      <c r="D13" s="5"/>
      <c r="E13" s="5"/>
      <c r="F13" s="5"/>
      <c r="G13" s="5"/>
      <c r="H13" s="5"/>
      <c r="I13" s="5"/>
      <c r="J13" s="5"/>
      <c r="K13" s="5">
        <f t="shared" si="1"/>
        <v>0</v>
      </c>
      <c r="L13" s="5">
        <f t="shared" si="2"/>
        <v>0</v>
      </c>
      <c r="M13" s="5" t="str">
        <f t="shared" si="3"/>
        <v>Insuffisant</v>
      </c>
      <c r="N13" s="8"/>
    </row>
    <row r="14" ht="19.5" customHeight="1">
      <c r="A14" s="5">
        <v>12.0</v>
      </c>
      <c r="B14" s="6"/>
      <c r="C14" s="5"/>
      <c r="D14" s="5"/>
      <c r="E14" s="5"/>
      <c r="F14" s="5"/>
      <c r="G14" s="5"/>
      <c r="H14" s="5"/>
      <c r="I14" s="5"/>
      <c r="J14" s="5"/>
      <c r="K14" s="5">
        <f t="shared" si="1"/>
        <v>0</v>
      </c>
      <c r="L14" s="5">
        <f t="shared" si="2"/>
        <v>0</v>
      </c>
      <c r="M14" s="5" t="str">
        <f t="shared" si="3"/>
        <v>Insuffisant</v>
      </c>
      <c r="N14" s="8"/>
    </row>
    <row r="15" ht="19.5" customHeight="1">
      <c r="A15" s="5">
        <v>13.0</v>
      </c>
      <c r="B15" s="6"/>
      <c r="C15" s="5"/>
      <c r="D15" s="5"/>
      <c r="E15" s="5"/>
      <c r="F15" s="5"/>
      <c r="G15" s="5"/>
      <c r="H15" s="5"/>
      <c r="I15" s="5"/>
      <c r="J15" s="5"/>
      <c r="K15" s="5">
        <f t="shared" si="1"/>
        <v>0</v>
      </c>
      <c r="L15" s="5">
        <f t="shared" si="2"/>
        <v>0</v>
      </c>
      <c r="M15" s="5" t="str">
        <f t="shared" si="3"/>
        <v>Insuffisant</v>
      </c>
      <c r="N15" s="8"/>
    </row>
    <row r="16" ht="19.5" customHeight="1">
      <c r="A16" s="5">
        <v>14.0</v>
      </c>
      <c r="B16" s="6"/>
      <c r="C16" s="5"/>
      <c r="D16" s="5"/>
      <c r="E16" s="5"/>
      <c r="F16" s="5"/>
      <c r="G16" s="5"/>
      <c r="H16" s="5"/>
      <c r="I16" s="5"/>
      <c r="J16" s="5"/>
      <c r="K16" s="5">
        <f t="shared" si="1"/>
        <v>0</v>
      </c>
      <c r="L16" s="5">
        <f t="shared" si="2"/>
        <v>0</v>
      </c>
      <c r="M16" s="5" t="str">
        <f t="shared" si="3"/>
        <v>Insuffisant</v>
      </c>
      <c r="N16" s="8"/>
    </row>
    <row r="17" ht="19.5" customHeight="1">
      <c r="A17" s="5">
        <v>15.0</v>
      </c>
      <c r="B17" s="6"/>
      <c r="C17" s="5"/>
      <c r="D17" s="5"/>
      <c r="E17" s="5"/>
      <c r="F17" s="5"/>
      <c r="G17" s="5"/>
      <c r="H17" s="5"/>
      <c r="I17" s="5"/>
      <c r="J17" s="5"/>
      <c r="K17" s="5">
        <f t="shared" si="1"/>
        <v>0</v>
      </c>
      <c r="L17" s="5">
        <f t="shared" si="2"/>
        <v>0</v>
      </c>
      <c r="M17" s="5" t="str">
        <f t="shared" si="3"/>
        <v>Insuffisant</v>
      </c>
      <c r="N17" s="8"/>
    </row>
    <row r="18" ht="19.5" customHeight="1">
      <c r="A18" s="5">
        <v>16.0</v>
      </c>
      <c r="B18" s="6"/>
      <c r="C18" s="5"/>
      <c r="D18" s="5"/>
      <c r="E18" s="5"/>
      <c r="F18" s="5"/>
      <c r="G18" s="5"/>
      <c r="H18" s="5"/>
      <c r="I18" s="5"/>
      <c r="J18" s="5"/>
      <c r="K18" s="5">
        <f t="shared" si="1"/>
        <v>0</v>
      </c>
      <c r="L18" s="5">
        <f t="shared" si="2"/>
        <v>0</v>
      </c>
      <c r="M18" s="5" t="str">
        <f t="shared" si="3"/>
        <v>Insuffisant</v>
      </c>
      <c r="N18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2:$N$18"/>
  <mergeCells count="1">
    <mergeCell ref="A1:N1"/>
  </mergeCells>
  <conditionalFormatting sqref="D3:D18">
    <cfRule type="cellIs" dxfId="0" priority="1" operator="equal">
      <formula>"Vert foncé"</formula>
    </cfRule>
  </conditionalFormatting>
  <conditionalFormatting sqref="D3:D18">
    <cfRule type="cellIs" dxfId="1" priority="2" operator="equal">
      <formula>"Vert clair"</formula>
    </cfRule>
  </conditionalFormatting>
  <conditionalFormatting sqref="D3:D18">
    <cfRule type="cellIs" dxfId="2" priority="3" operator="equal">
      <formula>"Jaune"</formula>
    </cfRule>
  </conditionalFormatting>
  <conditionalFormatting sqref="D3:D18">
    <cfRule type="cellIs" dxfId="3" priority="4" operator="equal">
      <formula>"Rouge"</formula>
    </cfRule>
  </conditionalFormatting>
  <conditionalFormatting sqref="E3:E18">
    <cfRule type="cellIs" dxfId="0" priority="5" operator="equal">
      <formula>"Vert foncé"</formula>
    </cfRule>
  </conditionalFormatting>
  <conditionalFormatting sqref="E3:E18">
    <cfRule type="cellIs" dxfId="1" priority="6" operator="equal">
      <formula>"Vert clair"</formula>
    </cfRule>
  </conditionalFormatting>
  <conditionalFormatting sqref="E3:E18">
    <cfRule type="cellIs" dxfId="2" priority="7" operator="equal">
      <formula>"Jaune"</formula>
    </cfRule>
  </conditionalFormatting>
  <conditionalFormatting sqref="E3:E18">
    <cfRule type="cellIs" dxfId="3" priority="8" operator="equal">
      <formula>"Rouge"</formula>
    </cfRule>
  </conditionalFormatting>
  <conditionalFormatting sqref="F3:F18">
    <cfRule type="cellIs" dxfId="0" priority="9" operator="equal">
      <formula>"Vert foncé"</formula>
    </cfRule>
  </conditionalFormatting>
  <conditionalFormatting sqref="F3:F18">
    <cfRule type="cellIs" dxfId="1" priority="10" operator="equal">
      <formula>"Vert clair"</formula>
    </cfRule>
  </conditionalFormatting>
  <conditionalFormatting sqref="F3:F18">
    <cfRule type="cellIs" dxfId="2" priority="11" operator="equal">
      <formula>"Jaune"</formula>
    </cfRule>
  </conditionalFormatting>
  <conditionalFormatting sqref="F3:F18">
    <cfRule type="cellIs" dxfId="3" priority="12" operator="equal">
      <formula>"Rouge"</formula>
    </cfRule>
  </conditionalFormatting>
  <conditionalFormatting sqref="G3:G18">
    <cfRule type="cellIs" dxfId="0" priority="13" operator="equal">
      <formula>"Vert foncé"</formula>
    </cfRule>
  </conditionalFormatting>
  <conditionalFormatting sqref="G3:G18">
    <cfRule type="cellIs" dxfId="1" priority="14" operator="equal">
      <formula>"Vert clair"</formula>
    </cfRule>
  </conditionalFormatting>
  <conditionalFormatting sqref="G3:G18">
    <cfRule type="cellIs" dxfId="2" priority="15" operator="equal">
      <formula>"Jaune"</formula>
    </cfRule>
  </conditionalFormatting>
  <conditionalFormatting sqref="G3:G18">
    <cfRule type="cellIs" dxfId="3" priority="16" operator="equal">
      <formula>"Rouge"</formula>
    </cfRule>
  </conditionalFormatting>
  <conditionalFormatting sqref="H3:H18">
    <cfRule type="cellIs" dxfId="0" priority="17" operator="equal">
      <formula>"Vert foncé"</formula>
    </cfRule>
  </conditionalFormatting>
  <conditionalFormatting sqref="H3:H18">
    <cfRule type="cellIs" dxfId="1" priority="18" operator="equal">
      <formula>"Vert clair"</formula>
    </cfRule>
  </conditionalFormatting>
  <conditionalFormatting sqref="H3:H18">
    <cfRule type="cellIs" dxfId="2" priority="19" operator="equal">
      <formula>"Jaune"</formula>
    </cfRule>
  </conditionalFormatting>
  <conditionalFormatting sqref="H3:H18">
    <cfRule type="cellIs" dxfId="3" priority="20" operator="equal">
      <formula>"Rouge"</formula>
    </cfRule>
  </conditionalFormatting>
  <conditionalFormatting sqref="I3:I18">
    <cfRule type="cellIs" dxfId="0" priority="21" operator="equal">
      <formula>"Vert foncé"</formula>
    </cfRule>
  </conditionalFormatting>
  <conditionalFormatting sqref="I3:I18">
    <cfRule type="cellIs" dxfId="1" priority="22" operator="equal">
      <formula>"Vert clair"</formula>
    </cfRule>
  </conditionalFormatting>
  <conditionalFormatting sqref="I3:I18">
    <cfRule type="cellIs" dxfId="2" priority="23" operator="equal">
      <formula>"Jaune"</formula>
    </cfRule>
  </conditionalFormatting>
  <conditionalFormatting sqref="I3:I18">
    <cfRule type="cellIs" dxfId="3" priority="24" operator="equal">
      <formula>"Rouge"</formula>
    </cfRule>
  </conditionalFormatting>
  <conditionalFormatting sqref="J3:J18">
    <cfRule type="cellIs" dxfId="0" priority="25" operator="equal">
      <formula>"Vert foncé"</formula>
    </cfRule>
  </conditionalFormatting>
  <conditionalFormatting sqref="J3:J18">
    <cfRule type="cellIs" dxfId="1" priority="26" operator="equal">
      <formula>"Vert clair"</formula>
    </cfRule>
  </conditionalFormatting>
  <conditionalFormatting sqref="J3:J18">
    <cfRule type="cellIs" dxfId="2" priority="27" operator="equal">
      <formula>"Jaune"</formula>
    </cfRule>
  </conditionalFormatting>
  <conditionalFormatting sqref="J3:J18">
    <cfRule type="cellIs" dxfId="3" priority="28" operator="equal">
      <formula>"Rouge"</formula>
    </cfRule>
  </conditionalFormatting>
  <conditionalFormatting sqref="M3:M18">
    <cfRule type="cellIs" dxfId="0" priority="29" operator="equal">
      <formula>"Très satisfaisant"</formula>
    </cfRule>
  </conditionalFormatting>
  <conditionalFormatting sqref="M3:M18">
    <cfRule type="cellIs" dxfId="4" priority="30" operator="equal">
      <formula>"Satisfaisant"</formula>
    </cfRule>
  </conditionalFormatting>
  <conditionalFormatting sqref="M3:M18">
    <cfRule type="cellIs" dxfId="5" priority="31" operator="equal">
      <formula>"Fragile"</formula>
    </cfRule>
  </conditionalFormatting>
  <conditionalFormatting sqref="M3:M18">
    <cfRule type="cellIs" dxfId="6" priority="32" operator="equal">
      <formula>"Insuffisant"</formula>
    </cfRule>
  </conditionalFormatting>
  <dataValidations>
    <dataValidation type="list" allowBlank="1" sqref="D3:J18">
      <formula1>"Rouge,Jaune,Vert clair,Vert foncé"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16.0"/>
    <col customWidth="1" min="4" max="26" width="8.71"/>
  </cols>
  <sheetData>
    <row r="1" ht="27.75" customHeight="1">
      <c r="A1" s="1" t="s">
        <v>18</v>
      </c>
      <c r="B1" s="2"/>
      <c r="C1" s="2"/>
      <c r="D1" s="3"/>
    </row>
    <row r="3">
      <c r="A3" s="9" t="s">
        <v>19</v>
      </c>
      <c r="B3" s="10">
        <f>ROUND(AVERAGE('Évaluation'!$L$3:$L$18),1)</f>
        <v>0.8</v>
      </c>
    </row>
    <row r="4">
      <c r="A4" s="9" t="s">
        <v>20</v>
      </c>
      <c r="B4" s="10">
        <f>MAX('Évaluation'!$L$3:$L$18)</f>
        <v>12.4</v>
      </c>
    </row>
    <row r="5">
      <c r="A5" s="9" t="s">
        <v>21</v>
      </c>
      <c r="B5" s="10">
        <f>MIN('Évaluation'!$L$3:$L$18)</f>
        <v>0</v>
      </c>
    </row>
    <row r="7">
      <c r="A7" s="11" t="s">
        <v>13</v>
      </c>
      <c r="B7" s="11" t="s">
        <v>22</v>
      </c>
      <c r="C7" s="11" t="s">
        <v>23</v>
      </c>
    </row>
    <row r="8">
      <c r="A8" s="12" t="s">
        <v>24</v>
      </c>
      <c r="B8" s="13">
        <f>COUNTIF('Évaluation'!$M$3:$M$18,"Très satisfaisant")</f>
        <v>0</v>
      </c>
      <c r="C8" s="14">
        <f t="shared" ref="C8:C11" si="1">B8/16</f>
        <v>0</v>
      </c>
    </row>
    <row r="9">
      <c r="A9" s="12" t="s">
        <v>25</v>
      </c>
      <c r="B9" s="13">
        <f>COUNTIF('Évaluation'!$M$3:$M$18,"Satisfaisant")</f>
        <v>1</v>
      </c>
      <c r="C9" s="14">
        <f t="shared" si="1"/>
        <v>0.0625</v>
      </c>
    </row>
    <row r="10">
      <c r="A10" s="12" t="s">
        <v>26</v>
      </c>
      <c r="B10" s="13">
        <f>COUNTIF('Évaluation'!$M$3:$M$18,"Fragile")</f>
        <v>0</v>
      </c>
      <c r="C10" s="14">
        <f t="shared" si="1"/>
        <v>0</v>
      </c>
    </row>
    <row r="11">
      <c r="A11" s="12" t="s">
        <v>27</v>
      </c>
      <c r="B11" s="13">
        <f>COUNTIF('Évaluation'!$M$3:$M$18,"Insuffisant")</f>
        <v>15</v>
      </c>
      <c r="C11" s="14">
        <f t="shared" si="1"/>
        <v>0.9375</v>
      </c>
    </row>
    <row r="12">
      <c r="A12" s="15" t="s">
        <v>28</v>
      </c>
      <c r="B12" s="15">
        <f>SUM(B8:B11)</f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conditionalFormatting sqref="A8">
    <cfRule type="cellIs" dxfId="7" priority="1" operator="equal">
      <formula>"Très satisfaisant"</formula>
    </cfRule>
  </conditionalFormatting>
  <conditionalFormatting sqref="A9">
    <cfRule type="cellIs" dxfId="8" priority="2" operator="equal">
      <formula>"Satisfaisant"</formula>
    </cfRule>
  </conditionalFormatting>
  <conditionalFormatting sqref="A10">
    <cfRule type="cellIs" dxfId="9" priority="3" operator="equal">
      <formula>"Fragile"</formula>
    </cfRule>
  </conditionalFormatting>
  <conditionalFormatting sqref="A11">
    <cfRule type="cellIs" dxfId="10" priority="4" operator="equal">
      <formula>"Insuffisant"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0.0"/>
    <col customWidth="1" min="3" max="26" width="8.71"/>
  </cols>
  <sheetData>
    <row r="1" ht="27.75" customHeight="1">
      <c r="A1" s="1" t="s">
        <v>29</v>
      </c>
      <c r="B1" s="3"/>
    </row>
    <row r="3" ht="33.75" customHeight="1">
      <c r="A3" s="16" t="s">
        <v>30</v>
      </c>
      <c r="B3" s="17" t="s">
        <v>31</v>
      </c>
    </row>
    <row r="4" ht="33.75" customHeight="1">
      <c r="A4" s="16" t="s">
        <v>32</v>
      </c>
      <c r="B4" s="17" t="s">
        <v>33</v>
      </c>
    </row>
    <row r="5" ht="33.75" customHeight="1">
      <c r="A5" s="16" t="s">
        <v>34</v>
      </c>
      <c r="B5" s="17" t="s">
        <v>35</v>
      </c>
    </row>
    <row r="6" ht="33.75" customHeight="1">
      <c r="A6" s="16" t="s">
        <v>36</v>
      </c>
      <c r="B6" s="17" t="s">
        <v>37</v>
      </c>
    </row>
    <row r="7" ht="33.75" customHeight="1">
      <c r="A7" s="16" t="s">
        <v>24</v>
      </c>
      <c r="B7" s="17" t="s">
        <v>38</v>
      </c>
    </row>
    <row r="8" ht="33.75" customHeight="1">
      <c r="A8" s="16" t="s">
        <v>25</v>
      </c>
      <c r="B8" s="17" t="s">
        <v>39</v>
      </c>
    </row>
    <row r="9" ht="33.75" customHeight="1">
      <c r="A9" s="16" t="s">
        <v>26</v>
      </c>
      <c r="B9" s="17" t="s">
        <v>40</v>
      </c>
    </row>
    <row r="10" ht="33.75" customHeight="1">
      <c r="A10" s="16" t="s">
        <v>27</v>
      </c>
      <c r="B10" s="17" t="s">
        <v>41</v>
      </c>
    </row>
    <row r="11" ht="33.75" customHeight="1">
      <c r="A11" s="16" t="s">
        <v>42</v>
      </c>
      <c r="B11" s="17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2.0"/>
    <col customWidth="1" min="3" max="3" width="22.0"/>
    <col customWidth="1" min="4" max="4" width="30.0"/>
    <col customWidth="1" min="5" max="26" width="8.71"/>
  </cols>
  <sheetData>
    <row r="1" ht="27.75" customHeight="1">
      <c r="A1" s="1" t="s">
        <v>44</v>
      </c>
      <c r="B1" s="2"/>
      <c r="C1" s="2"/>
      <c r="D1" s="3"/>
    </row>
    <row r="3" ht="33.75" customHeight="1">
      <c r="A3" s="18" t="s">
        <v>45</v>
      </c>
      <c r="B3" s="18" t="s">
        <v>46</v>
      </c>
      <c r="C3" s="18" t="s">
        <v>47</v>
      </c>
      <c r="D3" s="18" t="s">
        <v>48</v>
      </c>
    </row>
    <row r="4" ht="39.75" customHeight="1">
      <c r="A4" s="8" t="s">
        <v>49</v>
      </c>
      <c r="B4" s="8" t="s">
        <v>50</v>
      </c>
      <c r="C4" s="8" t="s">
        <v>51</v>
      </c>
      <c r="D4" s="8" t="s">
        <v>52</v>
      </c>
    </row>
    <row r="5" ht="39.75" customHeight="1">
      <c r="A5" s="8" t="s">
        <v>53</v>
      </c>
      <c r="B5" s="8" t="s">
        <v>54</v>
      </c>
      <c r="C5" s="8" t="s">
        <v>51</v>
      </c>
      <c r="D5" s="8" t="s">
        <v>55</v>
      </c>
    </row>
    <row r="6" ht="39.75" customHeight="1">
      <c r="A6" s="8" t="s">
        <v>56</v>
      </c>
      <c r="B6" s="8" t="s">
        <v>57</v>
      </c>
      <c r="C6" s="8" t="s">
        <v>58</v>
      </c>
      <c r="D6" s="8" t="s">
        <v>59</v>
      </c>
    </row>
    <row r="7" ht="39.75" customHeight="1">
      <c r="A7" s="8" t="s">
        <v>60</v>
      </c>
      <c r="B7" s="8" t="s">
        <v>61</v>
      </c>
      <c r="C7" s="8" t="s">
        <v>58</v>
      </c>
      <c r="D7" s="8" t="s">
        <v>62</v>
      </c>
    </row>
    <row r="8" ht="39.75" customHeight="1">
      <c r="A8" s="8" t="s">
        <v>63</v>
      </c>
      <c r="B8" s="8" t="s">
        <v>64</v>
      </c>
      <c r="C8" s="8" t="s">
        <v>65</v>
      </c>
      <c r="D8" s="8" t="s">
        <v>59</v>
      </c>
    </row>
    <row r="9" ht="39.75" customHeight="1">
      <c r="A9" s="8" t="s">
        <v>66</v>
      </c>
      <c r="B9" s="8" t="s">
        <v>67</v>
      </c>
      <c r="C9" s="8" t="s">
        <v>68</v>
      </c>
      <c r="D9" s="8" t="s">
        <v>62</v>
      </c>
    </row>
    <row r="10" ht="39.75" customHeight="1">
      <c r="A10" s="8" t="s">
        <v>69</v>
      </c>
      <c r="B10" s="8" t="s">
        <v>70</v>
      </c>
      <c r="C10" s="8" t="s">
        <v>71</v>
      </c>
      <c r="D10" s="8" t="s">
        <v>55</v>
      </c>
    </row>
    <row r="12" ht="31.5" customHeight="1">
      <c r="A12" s="19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2:D1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2026-07-22T13:46:04Z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